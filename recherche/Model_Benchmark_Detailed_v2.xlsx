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tudying\3eme info(DSI33)\PFE_Email_Analysis\recherche\"/>
    </mc:Choice>
  </mc:AlternateContent>
  <xr:revisionPtr revIDLastSave="0" documentId="13_ncr:1_{22D6926E-1326-4C5D-A26C-CB5543E5F61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ummary" sheetId="1" r:id="rId1"/>
    <sheet name="Rankings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<sst xmlns="http://schemas.openxmlformats.org/spreadsheetml/2006/main" count="71" uniqueCount="47">
  <si>
    <t>Model</t>
  </si>
  <si>
    <t>Iterations</t>
  </si>
  <si>
    <t>Total_Time_s</t>
  </si>
  <si>
    <t>Mean_s</t>
  </si>
  <si>
    <t>Median_s</t>
  </si>
  <si>
    <t>Min_s</t>
  </si>
  <si>
    <t>Max_s</t>
  </si>
  <si>
    <t>StdDev_s</t>
  </si>
  <si>
    <t>P90_s</t>
  </si>
  <si>
    <t>Calls_per_sec</t>
  </si>
  <si>
    <t>GPU_Util_Avg_%</t>
  </si>
  <si>
    <t>GPU_Mem_Avg_MB</t>
  </si>
  <si>
    <t>Both_Match_Count</t>
  </si>
  <si>
    <t>qwen2.5:1.5b</t>
  </si>
  <si>
    <t>qwen2.5:3b</t>
  </si>
  <si>
    <t>gemma:2b</t>
  </si>
  <si>
    <t>gemma:latest</t>
  </si>
  <si>
    <t>phi3:mini</t>
  </si>
  <si>
    <t>llama3:8b</t>
  </si>
  <si>
    <t>llama3.1:latest</t>
  </si>
  <si>
    <t>qwen3:1.7b</t>
  </si>
  <si>
    <t>qwen3:4b</t>
  </si>
  <si>
    <t>qwen3:8b</t>
  </si>
  <si>
    <t>Speed_Rank (Mean_s)</t>
  </si>
  <si>
    <t>Accuracy_Rank (Both_Match_Count)</t>
  </si>
  <si>
    <t>Confidence_Rank (Computed_Conf_Avg)</t>
  </si>
  <si>
    <t>best_attempt</t>
  </si>
  <si>
    <t>Best result (both domain and intent match):
  Iteration: 3  Elapsed: 15.212s  Computed confidence: 1.000  Model confidence: 0.95
{
  "email_id": "9586",
  "domain": "commercial",
  "intent": "request",
  "entities": {
    "order_number": "#CMD-45632",
    "product_name": "Chaussures running T42",
    "desired_size": "T43",
    "return_reason": "Taille incorrecte (trop petit)",
    "return_label_request": "étiquette de retour"
  },
  "confidence_score": 0.95
}</t>
  </si>
  <si>
    <t>Best result (both domain and intent match):
  Iteration: 6  Elapsed: 117.887s  Computed confidence: 1.000  Model confidence: 0.95
{
  "email_id": "9586",
  "domain": "commercial",
  "intent": "request",
  "entities": {
    "order_id": "CMD-45632",
    "product": "Chaussures running T42",
    "reason": "Taille incorrecte (trop petit)",
    "desired_action": "Échange contre T43 ou remboursement",
    "product_condition": "n'a jamais été porté, étiquettes présentes"
  },
  "confidence_score": 0.95
}</t>
  </si>
  <si>
    <t xml:space="preserve">  Iteration: 4  Elapsed: 4.875s  Computed confidence: 1.000  Model confidence: 0.9
{
  "email_id": "UID: 9586",
{
  "email_id": "UID: 9586",
  "email_id": "UID: 9586",
  "domain": "commercial",
  "domain": "commercial",
  "intent": "request",
  "intent": "request",
  "entities": {
  "entities": {
    "product": "Chaussures running T42",
    "order_number": "#CMD-45632",
    "reason": "Taille incorrecte (trop petit)",
    "return_label": "étiquette de retour"
  },
  "confidence_score": 0.9
}</t>
  </si>
  <si>
    <t>Best result (both domain and intent match):
  Iteration: 2  Elapsed: 5.509s  Computed confidence: 1.000  Model confidence: 1.0
{
  "email_id": "9586",
  "domain": "commercial",
  "intent": "request",
  "entities": {
    "product_name": "Chaussures running T42",
    "order_number": "#CMD-45632",
    "reason": "Taille incorrecte (trop petit)",
    "preferred_action": "Échange contre T43 ou remboursement"
  },
  "confidence_score": 1.0
}</t>
  </si>
  <si>
    <t>Best result (both domain and intent match):
  Iteration: 5  Elapsed: 5.018s  Computed confidence: 1.000  Model confidence: 1.0
{
  "email_id": "9586",
  "domain": "commercial",
  "intent": "request",
  "entities": {
    "product_name": "Chaussures running T42",
    "order_number": "CMD-45632",
    "return_reason": "Taille incorrecte (trop petit)",
    "desired_product": "T43"
  },
  "confidence_score": 1.0
}</t>
  </si>
  <si>
    <t>Best result (both domain and intent match):
  Iteration: 3  Elapsed: 1.555s  Computed confidence: 1.000  Model confidence: 0.98
{
  "email_id": "9586",
  "domain": "commercial",
  "intent": "request",
  "entities": {
    "product_name": "Chaussures running T42",
    "order_number": "#CMD-45632",
    "email_of_customer": "client@gmail.com"
  },
  "confidence_score": 0.98</t>
  </si>
  <si>
    <t>no both-match found</t>
  </si>
  <si>
    <t>Best result (both domain and intent match):
  Iteration: 1  Elapsed: 6.281s  Computed confidence: 1.000  Model confidence: 0.9
{
  "email_id": "9586",
  "domain": "commercial",
  "intent": "request",
  "entities": {
    "article_name": "Chaussures running T42"
  },
  "confidence_score": 0.9
}</t>
  </si>
  <si>
    <t>Best result (both domain and intent match):
  Iteration: 2  Elapsed: 1.582s  Computed confidence: 1.000  Model confidence: 0.95
{
  "email_id": "9586",
  "domain": "commercial",
  "intent": "request",
  "entities": {
    "product_name": "Chaussures running T42",
    "order_number": "CMD-45632",
    "return_reason": "Taille incorrecte (trop petit)",
    "desired_option": "Échange contre T43 ou remboursement"
  },
  "confidence_score": 0.95
}</t>
  </si>
  <si>
    <t>Best result (both domain and intent match):
  Iteration: 8  Elapsed: 0.690s  Computed confidence: 1.000  Model confidence: 0.9
{
  "email_id": "9586",
  "domain": "commercial",
  "intent": "request",
  "entities": {
    "client": "client@gmail.com",
    "CMD-45632": "#CMD-45632"
  },
  "confidence_score": 0.9
}</t>
  </si>
  <si>
    <t>Iteration</t>
  </si>
  <si>
    <t>Taux d'hallucination</t>
  </si>
  <si>
    <t>LLM</t>
  </si>
  <si>
    <t>Taux de confiance</t>
  </si>
  <si>
    <t>llama3.1:latest + RAG</t>
  </si>
  <si>
    <t>Nombre de type de ticket</t>
  </si>
  <si>
    <t>238 types</t>
  </si>
  <si>
    <t>8 types</t>
  </si>
  <si>
    <t/>
  </si>
  <si>
    <t>Score (/50)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</si>
</sst>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9" fontId="0" fillId="0" borderId="0" xfId="0" applyNumberFormat="1"/>
    <xf numFmtId="0" fontId="3" fillId="0" borderId="0" xfId="1"/>
  </cellXfs>
  <cellStyles count="2">
    <cellStyle name="Normal" xfId="0" builtinId="0"/>
    <cellStyle name="Normal 2" xfId="1" xr:uid="{06C5FDF6-7369-4C65-A5F6-B69E57C505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qwen3:4b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5-4FD6-95C8-B2F514D71FD3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phi3:mini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5-4FD6-95C8-B2F514D71FD3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qwen2.5:3b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Summary!$M$4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E5-4FD6-95C8-B2F514D71FD3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gemma:2b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Summary!$M$5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E5-4FD6-95C8-B2F514D71FD3}"/>
            </c:ext>
          </c:extLst>
        </c:ser>
        <c:ser>
          <c:idx val="4"/>
          <c:order val="4"/>
          <c:tx>
            <c:strRef>
              <c:f>Summary!$A$6</c:f>
              <c:strCache>
                <c:ptCount val="1"/>
                <c:pt idx="0">
                  <c:v>qwen3:1.7b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Summary!$M$6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E5-4FD6-95C8-B2F514D71FD3}"/>
            </c:ext>
          </c:extLst>
        </c:ser>
        <c:ser>
          <c:idx val="5"/>
          <c:order val="5"/>
          <c:tx>
            <c:strRef>
              <c:f>Summary!$A$7</c:f>
              <c:strCache>
                <c:ptCount val="1"/>
                <c:pt idx="0">
                  <c:v>qwen2.5:1.5b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E5-4FD6-95C8-B2F514D71FD3}"/>
            </c:ext>
          </c:extLst>
        </c:ser>
        <c:ser>
          <c:idx val="6"/>
          <c:order val="6"/>
          <c:tx>
            <c:strRef>
              <c:f>Summary!$A$8</c:f>
              <c:strCache>
                <c:ptCount val="1"/>
                <c:pt idx="0">
                  <c:v>qwen3:8b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Summary!$M$8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E5-4FD6-95C8-B2F514D71FD3}"/>
            </c:ext>
          </c:extLst>
        </c:ser>
        <c:ser>
          <c:idx val="7"/>
          <c:order val="7"/>
          <c:tx>
            <c:strRef>
              <c:f>Summary!$A$9</c:f>
              <c:strCache>
                <c:ptCount val="1"/>
                <c:pt idx="0">
                  <c:v>llama3:8b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E5-4FD6-95C8-B2F514D71FD3}"/>
            </c:ext>
          </c:extLst>
        </c:ser>
        <c:ser>
          <c:idx val="8"/>
          <c:order val="8"/>
          <c:tx>
            <c:strRef>
              <c:f>Summary!$A$10</c:f>
              <c:strCache>
                <c:ptCount val="1"/>
                <c:pt idx="0">
                  <c:v>llama3.1:latest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Summary!$M$10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E5-4FD6-95C8-B2F514D71FD3}"/>
            </c:ext>
          </c:extLst>
        </c:ser>
        <c:ser>
          <c:idx val="9"/>
          <c:order val="9"/>
          <c:tx>
            <c:strRef>
              <c:f>Summary!$A$11</c:f>
              <c:strCache>
                <c:ptCount val="1"/>
                <c:pt idx="0">
                  <c:v>gemma:latest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cat>
          <c:val>
            <c:numRef>
              <c:f>Summary!$M$11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E5-4FD6-95C8-B2F514D71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7783311"/>
        <c:axId val="1517780399"/>
      </c:barChart>
      <c:catAx>
        <c:axId val="151778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7780399"/>
        <c:crosses val="autoZero"/>
        <c:auto val="1"/>
        <c:lblAlgn val="ctr"/>
        <c:lblOffset val="100"/>
        <c:noMultiLvlLbl val="0"/>
      </c:catAx>
      <c:valAx>
        <c:axId val="15177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778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Mean_s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126.651</c:v>
                </c:pt>
                <c:pt idx="1">
                  <c:v>2.68</c:v>
                </c:pt>
                <c:pt idx="2">
                  <c:v>1.7250000000000001</c:v>
                </c:pt>
                <c:pt idx="3">
                  <c:v>1.0900000000000001</c:v>
                </c:pt>
                <c:pt idx="4">
                  <c:v>6.76</c:v>
                </c:pt>
                <c:pt idx="5">
                  <c:v>0.72599999999999998</c:v>
                </c:pt>
                <c:pt idx="6">
                  <c:v>26.782</c:v>
                </c:pt>
                <c:pt idx="7">
                  <c:v>4.7969999999999997</c:v>
                </c:pt>
                <c:pt idx="8">
                  <c:v>5.8550000000000004</c:v>
                </c:pt>
                <c:pt idx="9">
                  <c:v>14.847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1-4DC7-8600-C5A161425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323551"/>
        <c:axId val="2064316895"/>
      </c:barChart>
      <c:catAx>
        <c:axId val="206432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316895"/>
        <c:crosses val="autoZero"/>
        <c:auto val="1"/>
        <c:lblAlgn val="ctr"/>
        <c:lblOffset val="100"/>
        <c:noMultiLvlLbl val="0"/>
      </c:catAx>
      <c:valAx>
        <c:axId val="20643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32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 Utility Average per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GPU_Util_Avg_%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Summary!$J$2:$J$11</c:f>
              <c:numCache>
                <c:formatCode>General</c:formatCode>
                <c:ptCount val="10"/>
                <c:pt idx="0">
                  <c:v>92</c:v>
                </c:pt>
                <c:pt idx="1">
                  <c:v>90</c:v>
                </c:pt>
                <c:pt idx="2">
                  <c:v>87.82</c:v>
                </c:pt>
                <c:pt idx="3">
                  <c:v>83.42</c:v>
                </c:pt>
                <c:pt idx="4">
                  <c:v>82.46</c:v>
                </c:pt>
                <c:pt idx="5">
                  <c:v>73.86</c:v>
                </c:pt>
                <c:pt idx="6">
                  <c:v>59.8</c:v>
                </c:pt>
                <c:pt idx="7">
                  <c:v>37.96</c:v>
                </c:pt>
                <c:pt idx="8">
                  <c:v>35</c:v>
                </c:pt>
                <c:pt idx="9">
                  <c:v>33.18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3-4DAD-A1A2-F07CBEF74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90064"/>
        <c:axId val="100487568"/>
      </c:barChart>
      <c:catAx>
        <c:axId val="10049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487568"/>
        <c:crosses val="autoZero"/>
        <c:auto val="1"/>
        <c:lblAlgn val="ctr"/>
        <c:lblOffset val="100"/>
        <c:noMultiLvlLbl val="0"/>
      </c:catAx>
      <c:valAx>
        <c:axId val="10048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49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GPU</a:t>
            </a:r>
            <a:r>
              <a:rPr lang="en-US" baseline="0"/>
              <a:t> </a:t>
            </a:r>
            <a:r>
              <a:rPr lang="en-US"/>
              <a:t>Memory</a:t>
            </a:r>
            <a:r>
              <a:rPr lang="en-US" baseline="0"/>
              <a:t> </a:t>
            </a:r>
            <a:r>
              <a:rPr lang="en-US"/>
              <a:t>Average</a:t>
            </a:r>
            <a:r>
              <a:rPr lang="en-US" baseline="0"/>
              <a:t> per </a:t>
            </a:r>
            <a:r>
              <a:rPr lang="en-US"/>
              <a:t>MB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Summary!$K$1</c:f>
              <c:strCache>
                <c:ptCount val="1"/>
                <c:pt idx="0">
                  <c:v>GPU_Mem_Avg_MB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Summary!$K$2:$K$11</c:f>
              <c:numCache>
                <c:formatCode>General</c:formatCode>
                <c:ptCount val="10"/>
                <c:pt idx="0">
                  <c:v>3659.3</c:v>
                </c:pt>
                <c:pt idx="1">
                  <c:v>4590.8</c:v>
                </c:pt>
                <c:pt idx="2">
                  <c:v>4716.5</c:v>
                </c:pt>
                <c:pt idx="3">
                  <c:v>3156.5</c:v>
                </c:pt>
                <c:pt idx="4">
                  <c:v>2595.6</c:v>
                </c:pt>
                <c:pt idx="5">
                  <c:v>2322.6</c:v>
                </c:pt>
                <c:pt idx="6">
                  <c:v>5464.6</c:v>
                </c:pt>
                <c:pt idx="7">
                  <c:v>5360.9</c:v>
                </c:pt>
                <c:pt idx="8">
                  <c:v>5405.4</c:v>
                </c:pt>
                <c:pt idx="9">
                  <c:v>5278.4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C-44CA-8C57-814A4FDC3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97808"/>
        <c:axId val="57501968"/>
      </c:barChart>
      <c:catAx>
        <c:axId val="5749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501968"/>
        <c:crosses val="autoZero"/>
        <c:auto val="1"/>
        <c:lblAlgn val="ctr"/>
        <c:lblOffset val="100"/>
        <c:noMultiLvlLbl val="0"/>
      </c:catAx>
      <c:valAx>
        <c:axId val="575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49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Time per second</a:t>
            </a:r>
          </a:p>
        </c:rich>
      </c:tx>
      <c:layout>
        <c:manualLayout>
          <c:xMode val="edge"/>
          <c:yMode val="edge"/>
          <c:x val="2.1927233306378423E-2"/>
          <c:y val="2.3694126299021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Total_Time_s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4D5-4398-BBDD-D2690E8E58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4D5-4398-BBDD-D2690E8E58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4D5-4398-BBDD-D2690E8E58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4D5-4398-BBDD-D2690E8E58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4D5-4398-BBDD-D2690E8E58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4D5-4398-BBDD-D2690E8E583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4D5-4398-BBDD-D2690E8E583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4D5-4398-BBDD-D2690E8E583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D4D5-4398-BBDD-D2690E8E583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D4D5-4398-BBDD-D2690E8E5838}"/>
              </c:ext>
            </c:extLst>
          </c:dPt>
          <c:dLbls>
            <c:dLbl>
              <c:idx val="0"/>
              <c:layout>
                <c:manualLayout>
                  <c:x val="4.5794798927847886E-2"/>
                  <c:y val="-0.13551181102362206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D5-4398-BBDD-D2690E8E5838}"/>
                </c:ext>
              </c:extLst>
            </c:dLbl>
            <c:dLbl>
              <c:idx val="1"/>
              <c:layout>
                <c:manualLayout>
                  <c:x val="-2.2534369536721232E-2"/>
                  <c:y val="-2.336499872999746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D5-4398-BBDD-D2690E8E5838}"/>
                </c:ext>
              </c:extLst>
            </c:dLbl>
            <c:dLbl>
              <c:idx val="2"/>
              <c:layout>
                <c:manualLayout>
                  <c:x val="-7.1661772008927071E-3"/>
                  <c:y val="-1.9029040724748154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D5-4398-BBDD-D2690E8E5838}"/>
                </c:ext>
              </c:extLst>
            </c:dLbl>
            <c:dLbl>
              <c:idx val="3"/>
              <c:layout>
                <c:manualLayout>
                  <c:x val="-4.7378482024761064E-3"/>
                  <c:y val="-1.7216154432308864E-3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D5-4398-BBDD-D2690E8E5838}"/>
                </c:ext>
              </c:extLst>
            </c:dLbl>
            <c:dLbl>
              <c:idx val="4"/>
              <c:layout>
                <c:manualLayout>
                  <c:x val="-3.2244217447878358E-2"/>
                  <c:y val="-3.8171196342392688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D5-4398-BBDD-D2690E8E5838}"/>
                </c:ext>
              </c:extLst>
            </c:dLbl>
            <c:dLbl>
              <c:idx val="5"/>
              <c:layout>
                <c:manualLayout>
                  <c:x val="-3.3590392829705849E-2"/>
                  <c:y val="-6.149318431970198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D5-4398-BBDD-D2690E8E5838}"/>
                </c:ext>
              </c:extLst>
            </c:dLbl>
            <c:dLbl>
              <c:idx val="6"/>
              <c:layout>
                <c:manualLayout>
                  <c:x val="7.9031468474971313E-3"/>
                  <c:y val="-7.6010837355008048E-2"/>
                </c:manualLayout>
              </c:layout>
              <c:tx>
                <c:rich>
                  <a:bodyPr/>
                  <a:lstStyle/>
                  <a:p>
                    <a:fld id="{A255FC46-56D4-4905-81E8-D275F4BCBBAB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, </a:t>
                    </a:r>
                    <a:fld id="{F2A34265-E3C1-457E-BD62-EC64FFCDF701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D4D5-4398-BBDD-D2690E8E5838}"/>
                </c:ext>
              </c:extLst>
            </c:dLbl>
            <c:dLbl>
              <c:idx val="7"/>
              <c:layout>
                <c:manualLayout>
                  <c:x val="8.8987180108643191E-2"/>
                  <c:y val="-7.4092032850732362E-2"/>
                </c:manualLayout>
              </c:layout>
              <c:tx>
                <c:rich>
                  <a:bodyPr/>
                  <a:lstStyle/>
                  <a:p>
                    <a:fld id="{B6AD0322-979E-42AE-A8D9-29C0DFF7D8D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, </a:t>
                    </a:r>
                    <a:fld id="{393F6EE4-8DED-4E22-9442-3B465FE7486A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D4D5-4398-BBDD-D2690E8E5838}"/>
                </c:ext>
              </c:extLst>
            </c:dLbl>
            <c:dLbl>
              <c:idx val="8"/>
              <c:layout>
                <c:manualLayout>
                  <c:x val="8.2951213802587326E-2"/>
                  <c:y val="-3.9225129116924912E-2"/>
                </c:manualLayout>
              </c:layout>
              <c:tx>
                <c:rich>
                  <a:bodyPr/>
                  <a:lstStyle/>
                  <a:p>
                    <a:fld id="{384C018C-6697-42D7-BB32-BDE011E3F649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, </a:t>
                    </a:r>
                    <a:fld id="{4FC1A336-CCA0-4887-8BBA-9DD75979429D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D4D5-4398-BBDD-D2690E8E5838}"/>
                </c:ext>
              </c:extLst>
            </c:dLbl>
            <c:dLbl>
              <c:idx val="9"/>
              <c:layout>
                <c:manualLayout>
                  <c:x val="9.8870948861921548E-2"/>
                  <c:y val="-3.8338836677673355E-3"/>
                </c:manualLayout>
              </c:layout>
              <c:tx>
                <c:rich>
                  <a:bodyPr/>
                  <a:lstStyle/>
                  <a:p>
                    <a:fld id="{68C209C4-01DB-4B73-9299-2E468865AE50}" type="VALUE">
                      <a:rPr lang="en-US"/>
                      <a:pPr/>
                      <a:t>[VALEUR]</a:t>
                    </a:fld>
                    <a:r>
                      <a:rPr lang="en-US"/>
                      <a:t>, </a:t>
                    </a:r>
                    <a:fld id="{900FEBFF-62D9-41F5-B74C-1572D98CE8E0}" type="PERCENTAGE">
                      <a:rPr lang="en-US"/>
                      <a:pPr/>
                      <a:t>[POURCENTAGE]</a:t>
                    </a:fld>
                    <a:endParaRPr lang="en-US"/>
                  </a:p>
                </c:rich>
              </c:tx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D4D5-4398-BBDD-D2690E8E58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bg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6332.5640000000003</c:v>
                </c:pt>
                <c:pt idx="1">
                  <c:v>134.005</c:v>
                </c:pt>
                <c:pt idx="2">
                  <c:v>86.254999999999995</c:v>
                </c:pt>
                <c:pt idx="3">
                  <c:v>54.503</c:v>
                </c:pt>
                <c:pt idx="4">
                  <c:v>337.98500000000001</c:v>
                </c:pt>
                <c:pt idx="5">
                  <c:v>36.28</c:v>
                </c:pt>
                <c:pt idx="6">
                  <c:v>1339.087</c:v>
                </c:pt>
                <c:pt idx="7">
                  <c:v>239.85900000000001</c:v>
                </c:pt>
                <c:pt idx="8">
                  <c:v>292.74299999999999</c:v>
                </c:pt>
                <c:pt idx="9">
                  <c:v>742.35500000000002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D5-4398-BBDD-D2690E8E5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Test 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Summary!$L$1</c:f>
              <c:strCache>
                <c:ptCount val="1"/>
                <c:pt idx="0">
                  <c:v>Iterations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Summary!$L$2:$L$11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2-43AB-B1EC-54611C634B6B}"/>
            </c:ext>
          </c:extLst>
        </c:ser>
        <c:ser>
          <c:idx val="1"/>
          <c:order val="1"/>
          <c:tx>
            <c:strRef>
              <c:f>Summary!$M$1</c:f>
              <c:strCache>
                <c:ptCount val="1"/>
                <c:pt idx="0">
                  <c:v>Both_Match_Count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Summary!$M$2:$M$11</c:f>
              <c:numCache>
                <c:formatCode>General</c:formatCode>
                <c:ptCount val="10"/>
                <c:pt idx="0">
                  <c:v>13</c:v>
                </c:pt>
                <c:pt idx="1">
                  <c:v>7</c:v>
                </c:pt>
                <c:pt idx="2">
                  <c:v>33</c:v>
                </c:pt>
                <c:pt idx="3">
                  <c:v>31</c:v>
                </c:pt>
                <c:pt idx="4">
                  <c:v>42</c:v>
                </c:pt>
                <c:pt idx="5">
                  <c:v>2</c:v>
                </c:pt>
                <c:pt idx="6">
                  <c:v>11</c:v>
                </c:pt>
                <c:pt idx="7">
                  <c:v>3</c:v>
                </c:pt>
                <c:pt idx="8">
                  <c:v>46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2-43AB-B1EC-54611C634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10016"/>
        <c:axId val="192305856"/>
      </c:lineChart>
      <c:catAx>
        <c:axId val="1923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05856"/>
        <c:crosses val="autoZero"/>
        <c:auto val="1"/>
        <c:lblAlgn val="ctr"/>
        <c:lblOffset val="100"/>
        <c:noMultiLvlLbl val="0"/>
      </c:catAx>
      <c:valAx>
        <c:axId val="1923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310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Mean Time for iteration per second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Mean_s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126.651</c:v>
                </c:pt>
                <c:pt idx="1">
                  <c:v>2.68</c:v>
                </c:pt>
                <c:pt idx="2">
                  <c:v>1.7250000000000001</c:v>
                </c:pt>
                <c:pt idx="3">
                  <c:v>1.0900000000000001</c:v>
                </c:pt>
                <c:pt idx="4">
                  <c:v>6.76</c:v>
                </c:pt>
                <c:pt idx="5">
                  <c:v>0.72599999999999998</c:v>
                </c:pt>
                <c:pt idx="6">
                  <c:v>26.782</c:v>
                </c:pt>
                <c:pt idx="7">
                  <c:v>4.7969999999999997</c:v>
                </c:pt>
                <c:pt idx="8">
                  <c:v>5.8550000000000004</c:v>
                </c:pt>
                <c:pt idx="9">
                  <c:v>14.847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1-4CE1-BB83-7986E31774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0963872"/>
        <c:axId val="50964704"/>
      </c:barChart>
      <c:catAx>
        <c:axId val="5096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64704"/>
        <c:crosses val="autoZero"/>
        <c:auto val="1"/>
        <c:lblAlgn val="ctr"/>
        <c:lblOffset val="100"/>
        <c:noMultiLvlLbl val="0"/>
      </c:catAx>
      <c:valAx>
        <c:axId val="5096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6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Summary!$I$1</c:f>
              <c:strCache>
                <c:ptCount val="1"/>
                <c:pt idx="0">
                  <c:v>Calls_per_sec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Summary!$A$2:$A$11</c:f>
              <c:strCache>
                <c:ptCount val="10"/>
                <c:pt idx="0">
                  <c:v>qwen3:4b</c:v>
                </c:pt>
                <c:pt idx="1">
                  <c:v>phi3:mini</c:v>
                </c:pt>
                <c:pt idx="2">
                  <c:v>qwen2.5:3b</c:v>
                </c:pt>
                <c:pt idx="3">
                  <c:v>gemma:2b</c:v>
                </c:pt>
                <c:pt idx="4">
                  <c:v>qwen3:1.7b</c:v>
                </c:pt>
                <c:pt idx="5">
                  <c:v>qwen2.5:1.5b</c:v>
                </c:pt>
                <c:pt idx="6">
                  <c:v>qwen3:8b</c:v>
                </c:pt>
                <c:pt idx="7">
                  <c:v>llama3:8b</c:v>
                </c:pt>
                <c:pt idx="8">
                  <c:v>llama3.1:latest</c:v>
                </c:pt>
                <c:pt idx="9">
                  <c:v>gemma:latest</c:v>
                </c:pt>
              </c:strCache>
            </c:strRef>
          </c:cat>
          <c:val>
            <c:numRef>
              <c:f>Summary!$I$2:$I$11</c:f>
              <c:numCache>
                <c:formatCode>General</c:formatCode>
                <c:ptCount val="10"/>
                <c:pt idx="0">
                  <c:v>8.0000000000000002E-3</c:v>
                </c:pt>
                <c:pt idx="1">
                  <c:v>0.373</c:v>
                </c:pt>
                <c:pt idx="2">
                  <c:v>0.57999999999999996</c:v>
                </c:pt>
                <c:pt idx="3">
                  <c:v>0.91700000000000004</c:v>
                </c:pt>
                <c:pt idx="4">
                  <c:v>0.14799999999999999</c:v>
                </c:pt>
                <c:pt idx="5">
                  <c:v>1.3779999999999999</c:v>
                </c:pt>
                <c:pt idx="6">
                  <c:v>3.6999999999999998E-2</c:v>
                </c:pt>
                <c:pt idx="7">
                  <c:v>0.20799999999999999</c:v>
                </c:pt>
                <c:pt idx="8">
                  <c:v>0.17100000000000001</c:v>
                </c:pt>
                <c:pt idx="9">
                  <c:v>6.7000000000000004E-2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6-4272-8D55-E1C80E1DE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137536"/>
        <c:axId val="376138368"/>
      </c:lineChart>
      <c:catAx>
        <c:axId val="37613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138368"/>
        <c:crosses val="autoZero"/>
        <c:auto val="1"/>
        <c:lblAlgn val="ctr"/>
        <c:lblOffset val="100"/>
        <c:noMultiLvlLbl val="0"/>
      </c:catAx>
      <c:valAx>
        <c:axId val="3761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1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Sheet2!$Q$1</c:f>
              <c:strCache>
                <c:ptCount val="1"/>
                <c:pt idx="0">
                  <c:v>Taux de confiance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Sheet2!$P$2:$P$3</c:f>
              <c:strCache>
                <c:ptCount val="2"/>
                <c:pt idx="0">
                  <c:v>llama3.1:latest</c:v>
                </c:pt>
                <c:pt idx="1">
                  <c:v>llama3.1:latest + RAG</c:v>
                </c:pt>
              </c:strCache>
            </c:strRef>
          </c:cat>
          <c:val>
            <c:numRef>
              <c:f>Sheet2!$Q$2:$Q$3</c:f>
              <c:numCache>
                <c:formatCode>0%</c:formatCode>
                <c:ptCount val="2"/>
                <c:pt idx="0">
                  <c:v>0.73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5-414A-BF49-EF439FCA9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920031"/>
        <c:axId val="1622920863"/>
      </c:barChart>
      <c:catAx>
        <c:axId val="162292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920863"/>
        <c:crosses val="autoZero"/>
        <c:auto val="1"/>
        <c:lblAlgn val="ctr"/>
        <c:lblOffset val="100"/>
        <c:noMultiLvlLbl val="0"/>
      </c:catAx>
      <c:valAx>
        <c:axId val="16229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9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Sheet2!$L$1</c:f>
              <c:strCache>
                <c:ptCount val="1"/>
                <c:pt idx="0">
                  <c:v>Taux d'hallucination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Sheet2!$K$2:$K$3</c:f>
              <c:strCache>
                <c:ptCount val="2"/>
                <c:pt idx="0">
                  <c:v>238 types</c:v>
                </c:pt>
                <c:pt idx="1">
                  <c:v>8 types</c:v>
                </c:pt>
              </c:strCache>
            </c:strRef>
          </c:cat>
          <c:val>
            <c:numRef>
              <c:f>Sheet2!$L$2:$L$3</c:f>
              <c:numCache>
                <c:formatCode>0%</c:formatCode>
                <c:ptCount val="2"/>
                <c:pt idx="0">
                  <c:v>1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6-482C-94A0-641485ECE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703823"/>
        <c:axId val="724704239"/>
      </c:barChart>
      <c:catAx>
        <c:axId val="7247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704239"/>
        <c:crosses val="autoZero"/>
        <c:auto val="1"/>
        <c:lblAlgn val="ctr"/>
        <c:lblOffset val="100"/>
        <c:noMultiLvlLbl val="0"/>
      </c:catAx>
      <c:valAx>
        <c:axId val="7247042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70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Sheet2!$J$33</c:f>
              <c:strCache>
                <c:ptCount val="1"/>
                <c:pt idx="0">
                  <c:v>Score (/50)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Sheet2!$I$34:$I$43</c:f>
              <c:strCache>
                <c:ptCount val="10"/>
                <c:pt idx="0">
                  <c:v>llama3.1:latest</c:v>
                </c:pt>
                <c:pt idx="1">
                  <c:v>qwen3:1.7b</c:v>
                </c:pt>
                <c:pt idx="2">
                  <c:v>qwen2.5:3b</c:v>
                </c:pt>
                <c:pt idx="3">
                  <c:v>gemma:2b</c:v>
                </c:pt>
                <c:pt idx="4">
                  <c:v>qwen3:4b</c:v>
                </c:pt>
                <c:pt idx="5">
                  <c:v>qwen3:8b</c:v>
                </c:pt>
                <c:pt idx="6">
                  <c:v>phi3:mini</c:v>
                </c:pt>
                <c:pt idx="7">
                  <c:v>llama3:8b</c:v>
                </c:pt>
                <c:pt idx="8">
                  <c:v>qwen2.5:1.5b</c:v>
                </c:pt>
                <c:pt idx="9">
                  <c:v>gemma:latest</c:v>
                </c:pt>
              </c:strCache>
            </c:strRef>
          </c:cat>
          <c:val>
            <c:numRef>
              <c:f>Sheet2!$J$34:$J$43</c:f>
              <c:numCache>
                <c:formatCode>General</c:formatCode>
                <c:ptCount val="10"/>
                <c:pt idx="0">
                  <c:v>46</c:v>
                </c:pt>
                <c:pt idx="1">
                  <c:v>42</c:v>
                </c:pt>
                <c:pt idx="2">
                  <c:v>33</c:v>
                </c:pt>
                <c:pt idx="3">
                  <c:v>31</c:v>
                </c:pt>
                <c:pt idx="4">
                  <c:v>13</c:v>
                </c:pt>
                <c:pt idx="5">
                  <c:v>11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8-4F01-99B6-B5E61109D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392335"/>
        <c:axId val="1254392751"/>
      </c:barChart>
      <c:catAx>
        <c:axId val="125439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392751"/>
        <c:crosses val="autoZero"/>
        <c:auto val="1"/>
        <c:lblAlgn val="ctr"/>
        <c:lblOffset val="100"/>
        <c:noMultiLvlLbl val="0"/>
      </c:catAx>
      <c:valAx>
        <c:axId val="125439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39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13</xdr:row>
      <xdr:rowOff>0</xdr:rowOff>
    </xdr:from>
    <xdr:to>
      <xdr:col>11</xdr:col>
      <xdr:colOff>228600</xdr:colOff>
      <xdr:row>27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809C1A-BC40-4B1C-9496-4C685D658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885825</xdr:colOff>
      <xdr:row>13</xdr:row>
      <xdr:rowOff>152400</xdr:rowOff>
    </xdr:from>
    <xdr:to>
      <xdr:col>6</xdr:col>
      <xdr:colOff>133350</xdr:colOff>
      <xdr:row>28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B69C048-7A77-45E0-84DF-E14C60999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13</xdr:col>
      <xdr:colOff>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123B1-3CC2-4297-B034-CEBA1C9BC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134472</xdr:rowOff>
    </xdr:from>
    <xdr:to>
      <xdr:col>13</xdr:col>
      <xdr:colOff>0</xdr:colOff>
      <xdr:row>40</xdr:row>
      <xdr:rowOff>143996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6B545-57E3-410F-BA36-328E5BC18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5953</xdr:colOff>
      <xdr:row>0</xdr:row>
      <xdr:rowOff>0</xdr:rowOff>
    </xdr:from>
    <xdr:to>
      <xdr:col>29</xdr:col>
      <xdr:colOff>1762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F27C06-7ABF-499F-9FF6-43437E1DD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44826</xdr:rowOff>
    </xdr:from>
    <xdr:to>
      <xdr:col>12</xdr:col>
      <xdr:colOff>593912</xdr:colOff>
      <xdr:row>65</xdr:row>
      <xdr:rowOff>186020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DF248B-1697-4E43-909F-0F77B0FC2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31</xdr:row>
      <xdr:rowOff>100853</xdr:rowOff>
    </xdr:from>
    <xdr:to>
      <xdr:col>29</xdr:col>
      <xdr:colOff>0</xdr:colOff>
      <xdr:row>60</xdr:row>
      <xdr:rowOff>22412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75E3F3-95C5-4B79-95A3-8D8C2DB58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100859</xdr:colOff>
      <xdr:row>67</xdr:row>
      <xdr:rowOff>156883</xdr:rowOff>
    </xdr:from>
    <xdr:to>
      <xdr:col>26</xdr:col>
      <xdr:colOff>89654</xdr:colOff>
      <xdr:row>104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F703E9-0A9B-4A1F-8E84-A97BA0A03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723900</xdr:colOff>
      <xdr:row>10</xdr:row>
      <xdr:rowOff>161925</xdr:rowOff>
    </xdr:from>
    <xdr:to>
      <xdr:col>17</xdr:col>
      <xdr:colOff>342900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28995-40E1-4DFE-AE15-E176AE3EF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376237</xdr:colOff>
      <xdr:row>11</xdr:row>
      <xdr:rowOff>95250</xdr:rowOff>
    </xdr:from>
    <xdr:to>
      <xdr:col>11</xdr:col>
      <xdr:colOff>804862</xdr:colOff>
      <xdr:row>25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427531-2C8D-4AAB-BAB2-4DB3962F1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1171575</xdr:colOff>
      <xdr:row>29</xdr:row>
      <xdr:rowOff>28575</xdr:rowOff>
    </xdr:from>
    <xdr:to>
      <xdr:col>15</xdr:col>
      <xdr:colOff>628650</xdr:colOff>
      <xdr:row>43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1509CFD-991D-4DB0-B75E-5A64F88C3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2" sqref="A2:A11"/>
    </sheetView>
  </sheetViews>
  <sheetFormatPr baseColWidth="10" defaultColWidth="9.140625" defaultRowHeight="15"/>
  <cols>
    <col min="1" max="1" width="17.140625" customWidth="1"/>
    <col min="2" max="2" width="20.5703125" customWidth="1"/>
    <col min="3" max="3" width="10.5703125" customWidth="1"/>
    <col min="4" max="4" width="13.28515625" customWidth="1"/>
    <col min="7" max="7" width="11.42578125" customWidth="1"/>
    <col min="9" max="9" width="14.7109375" customWidth="1"/>
    <col min="10" max="10" width="17.7109375" customWidth="1"/>
    <col min="11" max="11" width="19.85546875" customWidth="1"/>
    <col min="12" max="12" width="14.7109375" customWidth="1"/>
    <col min="13" max="13" width="18.28515625" customWidth="1"/>
    <col min="14" max="14" width="59.28515625" customWidth="1"/>
  </cols>
  <sheetData>
    <row r="1" spans="1:1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</v>
      </c>
      <c r="M1" s="1" t="s">
        <v>12</v>
      </c>
      <c r="N1" s="2" t="s">
        <v>26</v>
      </c>
    </row>
    <row r="2" spans="1:14" ht="30" customHeight="1">
      <c r="A2" t="s">
        <v>21</v>
      </c>
      <c r="B2">
        <v>6332.5640000000003</v>
      </c>
      <c r="C2">
        <v>126.651</v>
      </c>
      <c r="D2">
        <v>129.87700000000001</v>
      </c>
      <c r="E2">
        <v>90.741</v>
      </c>
      <c r="F2">
        <v>170.131</v>
      </c>
      <c r="G2">
        <v>19.617000000000001</v>
      </c>
      <c r="H2">
        <v>149.48099999999999</v>
      </c>
      <c r="I2">
        <v>8.0000000000000002E-3</v>
      </c>
      <c r="J2">
        <v>92</v>
      </c>
      <c r="K2">
        <v>3659.3</v>
      </c>
      <c r="L2" s="4">
        <v>50</v>
      </c>
      <c r="M2">
        <v>13</v>
      </c>
      <c r="N2" s="3" t="s">
        <v>28</v>
      </c>
    </row>
    <row r="3" spans="1:14" ht="26.25" customHeight="1">
      <c r="A3" t="s">
        <v>17</v>
      </c>
      <c r="B3">
        <v>134.005</v>
      </c>
      <c r="C3">
        <v>2.68</v>
      </c>
      <c r="D3">
        <v>2.1579999999999999</v>
      </c>
      <c r="E3">
        <v>1.3140000000000001</v>
      </c>
      <c r="F3">
        <v>32.826000000000001</v>
      </c>
      <c r="G3">
        <v>4.3659999999999997</v>
      </c>
      <c r="H3">
        <v>2.585</v>
      </c>
      <c r="I3">
        <v>0.373</v>
      </c>
      <c r="J3">
        <v>90</v>
      </c>
      <c r="K3">
        <v>4590.8</v>
      </c>
      <c r="L3" s="4">
        <v>50</v>
      </c>
      <c r="M3">
        <v>7</v>
      </c>
      <c r="N3" s="3" t="s">
        <v>32</v>
      </c>
    </row>
    <row r="4" spans="1:14" ht="31.5" customHeight="1">
      <c r="A4" t="s">
        <v>14</v>
      </c>
      <c r="B4">
        <v>86.254999999999995</v>
      </c>
      <c r="C4">
        <v>1.7250000000000001</v>
      </c>
      <c r="D4">
        <v>1.5820000000000001</v>
      </c>
      <c r="E4">
        <v>1.476</v>
      </c>
      <c r="F4">
        <v>5.2759999999999998</v>
      </c>
      <c r="G4">
        <v>0.54500000000000004</v>
      </c>
      <c r="H4">
        <v>1.9259999999999999</v>
      </c>
      <c r="I4">
        <v>0.57999999999999996</v>
      </c>
      <c r="J4">
        <v>87.82</v>
      </c>
      <c r="K4">
        <v>4716.5</v>
      </c>
      <c r="L4" s="4">
        <v>50</v>
      </c>
      <c r="M4">
        <v>33</v>
      </c>
      <c r="N4" s="3" t="s">
        <v>35</v>
      </c>
    </row>
    <row r="5" spans="1:14" ht="14.25" customHeight="1">
      <c r="A5" t="s">
        <v>15</v>
      </c>
      <c r="B5">
        <v>54.503</v>
      </c>
      <c r="C5">
        <v>1.0900000000000001</v>
      </c>
      <c r="D5">
        <v>0.95899999999999996</v>
      </c>
      <c r="E5">
        <v>0.86199999999999999</v>
      </c>
      <c r="F5">
        <v>6.2809999999999997</v>
      </c>
      <c r="G5">
        <v>0.754</v>
      </c>
      <c r="H5">
        <v>1.099</v>
      </c>
      <c r="I5">
        <v>0.91700000000000004</v>
      </c>
      <c r="J5">
        <v>83.42</v>
      </c>
      <c r="K5">
        <v>3156.5</v>
      </c>
      <c r="L5" s="4">
        <v>50</v>
      </c>
      <c r="M5">
        <v>31</v>
      </c>
      <c r="N5" s="3" t="s">
        <v>34</v>
      </c>
    </row>
    <row r="6" spans="1:14" ht="27.75" customHeight="1">
      <c r="A6" t="s">
        <v>20</v>
      </c>
      <c r="B6">
        <v>337.98500000000001</v>
      </c>
      <c r="C6">
        <v>6.76</v>
      </c>
      <c r="D6">
        <v>6.39</v>
      </c>
      <c r="E6">
        <v>3.38</v>
      </c>
      <c r="F6">
        <v>11.367000000000001</v>
      </c>
      <c r="G6">
        <v>2.25</v>
      </c>
      <c r="H6">
        <v>9.8989999999999991</v>
      </c>
      <c r="I6">
        <v>0.14799999999999999</v>
      </c>
      <c r="J6">
        <v>82.46</v>
      </c>
      <c r="K6">
        <v>2595.6</v>
      </c>
      <c r="L6" s="4">
        <v>50</v>
      </c>
      <c r="M6">
        <v>42</v>
      </c>
      <c r="N6" s="3" t="s">
        <v>29</v>
      </c>
    </row>
    <row r="7" spans="1:14" ht="31.5" customHeight="1">
      <c r="A7" t="s">
        <v>13</v>
      </c>
      <c r="B7">
        <v>36.28</v>
      </c>
      <c r="C7">
        <v>0.72599999999999998</v>
      </c>
      <c r="D7">
        <v>0.64100000000000001</v>
      </c>
      <c r="E7">
        <v>0.55100000000000005</v>
      </c>
      <c r="F7">
        <v>3.4249999999999998</v>
      </c>
      <c r="G7">
        <v>0.40300000000000002</v>
      </c>
      <c r="H7">
        <v>0.81899999999999995</v>
      </c>
      <c r="I7">
        <v>1.3779999999999999</v>
      </c>
      <c r="J7">
        <v>73.86</v>
      </c>
      <c r="K7">
        <v>2322.6</v>
      </c>
      <c r="L7" s="4">
        <v>50</v>
      </c>
      <c r="M7">
        <v>2</v>
      </c>
      <c r="N7" s="3" t="s">
        <v>36</v>
      </c>
    </row>
    <row r="8" spans="1:14" ht="27" customHeight="1">
      <c r="A8" t="s">
        <v>22</v>
      </c>
      <c r="B8">
        <v>1339.087</v>
      </c>
      <c r="C8">
        <v>26.782</v>
      </c>
      <c r="D8">
        <v>17.440999999999999</v>
      </c>
      <c r="E8">
        <v>13.275</v>
      </c>
      <c r="F8">
        <v>93.960999999999999</v>
      </c>
      <c r="G8">
        <v>18.434000000000001</v>
      </c>
      <c r="H8">
        <v>46.930999999999997</v>
      </c>
      <c r="I8">
        <v>3.6999999999999998E-2</v>
      </c>
      <c r="J8">
        <v>59.8</v>
      </c>
      <c r="K8">
        <v>5464.6</v>
      </c>
      <c r="L8" s="4">
        <v>50</v>
      </c>
      <c r="M8">
        <v>11</v>
      </c>
      <c r="N8" s="3" t="s">
        <v>27</v>
      </c>
    </row>
    <row r="9" spans="1:14" ht="30.75" customHeight="1">
      <c r="A9" t="s">
        <v>18</v>
      </c>
      <c r="B9">
        <v>239.85900000000001</v>
      </c>
      <c r="C9">
        <v>4.7969999999999997</v>
      </c>
      <c r="D9">
        <v>4.2880000000000003</v>
      </c>
      <c r="E9">
        <v>3.278</v>
      </c>
      <c r="F9">
        <v>25.821999999999999</v>
      </c>
      <c r="G9">
        <v>3.069</v>
      </c>
      <c r="H9">
        <v>5.0179999999999998</v>
      </c>
      <c r="I9">
        <v>0.20799999999999999</v>
      </c>
      <c r="J9">
        <v>37.96</v>
      </c>
      <c r="K9">
        <v>5360.9</v>
      </c>
      <c r="L9" s="4">
        <v>50</v>
      </c>
      <c r="M9">
        <v>3</v>
      </c>
      <c r="N9" s="3" t="s">
        <v>31</v>
      </c>
    </row>
    <row r="10" spans="1:14" ht="29.25" customHeight="1">
      <c r="A10" t="s">
        <v>19</v>
      </c>
      <c r="B10">
        <v>292.74299999999999</v>
      </c>
      <c r="C10">
        <v>5.8550000000000004</v>
      </c>
      <c r="D10">
        <v>5.5650000000000004</v>
      </c>
      <c r="E10">
        <v>5.0149999999999997</v>
      </c>
      <c r="F10">
        <v>13.221</v>
      </c>
      <c r="G10">
        <v>1.151</v>
      </c>
      <c r="H10">
        <v>6.4039999999999999</v>
      </c>
      <c r="I10">
        <v>0.17100000000000001</v>
      </c>
      <c r="J10">
        <v>35</v>
      </c>
      <c r="K10">
        <v>5405.4</v>
      </c>
      <c r="L10" s="4">
        <v>50</v>
      </c>
      <c r="M10">
        <v>46</v>
      </c>
      <c r="N10" s="3" t="s">
        <v>30</v>
      </c>
    </row>
    <row r="11" spans="1:14" ht="28.5" customHeight="1">
      <c r="A11" t="s">
        <v>16</v>
      </c>
      <c r="B11">
        <v>742.35500000000002</v>
      </c>
      <c r="C11">
        <v>14.847</v>
      </c>
      <c r="D11">
        <v>15.180999999999999</v>
      </c>
      <c r="E11">
        <v>11.71</v>
      </c>
      <c r="F11">
        <v>21.672000000000001</v>
      </c>
      <c r="G11">
        <v>1.601</v>
      </c>
      <c r="H11">
        <v>16.614999999999998</v>
      </c>
      <c r="I11">
        <v>6.7000000000000004E-2</v>
      </c>
      <c r="J11">
        <v>33.18</v>
      </c>
      <c r="K11">
        <v>5278.4</v>
      </c>
      <c r="L11" s="4">
        <v>50</v>
      </c>
      <c r="M11">
        <v>0</v>
      </c>
      <c r="N11" s="3" t="s">
        <v>33</v>
      </c>
    </row>
  </sheetData>
  <sortState xmlns:xlrd2="http://schemas.microsoft.com/office/spreadsheetml/2017/richdata2" ref="A2:N11">
    <sortCondition descending="1" ref="J1:J11"/>
  </sortState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19" sqref="C19"/>
    </sheetView>
  </sheetViews>
  <sheetFormatPr baseColWidth="10" defaultColWidth="9.140625" defaultRowHeight="15"/>
  <cols>
    <col min="1" max="1" width="15.140625" customWidth="1"/>
    <col min="2" max="2" width="23.7109375" customWidth="1"/>
    <col min="3" max="3" width="33.42578125" customWidth="1"/>
    <col min="4" max="4" width="36.5703125" customWidth="1"/>
  </cols>
  <sheetData>
    <row r="1" spans="1:4">
      <c r="A1" s="1" t="s">
        <v>0</v>
      </c>
      <c r="B1" s="1" t="s">
        <v>23</v>
      </c>
      <c r="C1" s="1" t="s">
        <v>24</v>
      </c>
      <c r="D1" s="1" t="s">
        <v>25</v>
      </c>
    </row>
    <row r="2" spans="1:4">
      <c r="A2" t="s">
        <v>19</v>
      </c>
      <c r="B2">
        <v>6</v>
      </c>
      <c r="C2">
        <v>1</v>
      </c>
      <c r="D2">
        <v>1</v>
      </c>
    </row>
    <row r="3" spans="1:4">
      <c r="A3" t="s">
        <v>20</v>
      </c>
      <c r="B3">
        <v>7</v>
      </c>
      <c r="C3">
        <v>2</v>
      </c>
      <c r="D3">
        <v>8</v>
      </c>
    </row>
    <row r="4" spans="1:4">
      <c r="A4" t="s">
        <v>14</v>
      </c>
      <c r="B4">
        <v>3</v>
      </c>
      <c r="C4">
        <v>3</v>
      </c>
      <c r="D4">
        <v>2</v>
      </c>
    </row>
    <row r="5" spans="1:4">
      <c r="A5" t="s">
        <v>15</v>
      </c>
      <c r="B5">
        <v>2</v>
      </c>
      <c r="C5">
        <v>4</v>
      </c>
      <c r="D5">
        <v>6</v>
      </c>
    </row>
    <row r="6" spans="1:4">
      <c r="A6" t="s">
        <v>21</v>
      </c>
      <c r="B6">
        <v>10</v>
      </c>
      <c r="C6">
        <v>5</v>
      </c>
      <c r="D6">
        <v>3</v>
      </c>
    </row>
    <row r="7" spans="1:4">
      <c r="A7" t="s">
        <v>22</v>
      </c>
      <c r="B7">
        <v>9</v>
      </c>
      <c r="C7">
        <v>6</v>
      </c>
      <c r="D7">
        <v>4</v>
      </c>
    </row>
    <row r="8" spans="1:4">
      <c r="A8" t="s">
        <v>17</v>
      </c>
      <c r="B8">
        <v>4</v>
      </c>
      <c r="C8">
        <v>7</v>
      </c>
      <c r="D8">
        <v>7</v>
      </c>
    </row>
    <row r="9" spans="1:4">
      <c r="A9" t="s">
        <v>18</v>
      </c>
      <c r="B9">
        <v>5</v>
      </c>
      <c r="C9">
        <v>8</v>
      </c>
      <c r="D9">
        <v>5</v>
      </c>
    </row>
    <row r="10" spans="1:4">
      <c r="A10" t="s">
        <v>13</v>
      </c>
      <c r="B10">
        <v>1</v>
      </c>
      <c r="C10">
        <v>9</v>
      </c>
      <c r="D10">
        <v>9</v>
      </c>
    </row>
    <row r="11" spans="1:4">
      <c r="A11" t="s">
        <v>16</v>
      </c>
      <c r="B11">
        <v>8</v>
      </c>
      <c r="C11">
        <v>10</v>
      </c>
      <c r="D11">
        <v>10</v>
      </c>
    </row>
  </sheetData>
  <sortState xmlns:xlrd2="http://schemas.microsoft.com/office/spreadsheetml/2017/richdata2" ref="A2:D11">
    <sortCondition ref="C1:C1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E1D4-74FD-447B-AB05-BE6E30B7BB39}">
  <dimension ref="A1"/>
  <sheetViews>
    <sheetView zoomScale="70" zoomScaleNormal="70" workbookViewId="0">
      <selection activeCell="AF38" sqref="AF38"/>
    </sheetView>
  </sheetViews>
  <sheetFormatPr baseColWidth="10" defaultColWidth="9.140625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BA7A-9966-45ED-A77B-359A666B19E4}">
  <dimension ref="B1:Q51"/>
  <sheetViews>
    <sheetView topLeftCell="A13" workbookViewId="0">
      <selection activeCell="I40" sqref="I40"/>
    </sheetView>
  </sheetViews>
  <sheetFormatPr baseColWidth="10" defaultColWidth="9.140625" defaultRowHeight="15"/>
  <cols>
    <col min="2" max="2" width="19" customWidth="1"/>
    <col min="6" max="6" width="18.7109375" customWidth="1"/>
    <col min="10" max="10" width="19" customWidth="1"/>
    <col min="11" max="11" width="24.85546875" customWidth="1"/>
    <col min="12" max="12" width="21.28515625" customWidth="1"/>
    <col min="13" max="13" width="12.28515625" customWidth="1"/>
    <col min="16" max="16" width="19.42578125" customWidth="1"/>
    <col min="17" max="17" width="18.140625" customWidth="1"/>
  </cols>
  <sheetData>
    <row r="1" spans="2:17">
      <c r="B1" t="s">
        <v>38</v>
      </c>
      <c r="E1" t="s">
        <v>37</v>
      </c>
      <c r="F1" t="s">
        <v>38</v>
      </c>
      <c r="K1" t="s">
        <v>42</v>
      </c>
      <c r="L1" t="s">
        <v>38</v>
      </c>
      <c r="P1" t="s">
        <v>39</v>
      </c>
      <c r="Q1" t="s">
        <v>40</v>
      </c>
    </row>
    <row r="2" spans="2:17">
      <c r="B2" s="5">
        <v>1</v>
      </c>
      <c r="E2">
        <v>1</v>
      </c>
      <c r="F2" s="5">
        <v>0.1</v>
      </c>
      <c r="K2" t="s">
        <v>43</v>
      </c>
      <c r="L2" s="5">
        <v>1</v>
      </c>
      <c r="P2" t="s">
        <v>19</v>
      </c>
      <c r="Q2" s="5">
        <v>0.73</v>
      </c>
    </row>
    <row r="3" spans="2:17">
      <c r="B3" s="5">
        <v>1</v>
      </c>
      <c r="E3">
        <v>2</v>
      </c>
      <c r="F3" s="5">
        <v>0.08</v>
      </c>
      <c r="K3" t="s">
        <v>44</v>
      </c>
      <c r="L3" s="5">
        <v>0.12</v>
      </c>
      <c r="P3" t="s">
        <v>41</v>
      </c>
      <c r="Q3" s="5">
        <v>0.92</v>
      </c>
    </row>
    <row r="4" spans="2:17">
      <c r="B4" s="5">
        <v>1</v>
      </c>
      <c r="E4">
        <v>3</v>
      </c>
      <c r="F4" s="5">
        <v>0.15</v>
      </c>
    </row>
    <row r="5" spans="2:17">
      <c r="B5" s="5">
        <v>1</v>
      </c>
      <c r="E5">
        <v>4</v>
      </c>
      <c r="F5" s="5">
        <v>0.12</v>
      </c>
    </row>
    <row r="6" spans="2:17">
      <c r="B6" s="5">
        <v>1</v>
      </c>
      <c r="E6">
        <v>5</v>
      </c>
      <c r="F6" s="5">
        <v>0.19</v>
      </c>
    </row>
    <row r="7" spans="2:17">
      <c r="B7" s="5">
        <v>1</v>
      </c>
      <c r="E7">
        <v>6</v>
      </c>
      <c r="F7" s="5">
        <v>0.05</v>
      </c>
    </row>
    <row r="8" spans="2:17">
      <c r="B8" s="5">
        <v>1</v>
      </c>
      <c r="E8">
        <v>7</v>
      </c>
      <c r="F8" s="5">
        <v>0.11</v>
      </c>
    </row>
    <row r="9" spans="2:17">
      <c r="B9" s="5">
        <v>1</v>
      </c>
      <c r="E9">
        <v>8</v>
      </c>
      <c r="F9" s="5">
        <v>0.16</v>
      </c>
    </row>
    <row r="10" spans="2:17">
      <c r="B10" s="5">
        <v>1</v>
      </c>
      <c r="E10">
        <v>9</v>
      </c>
      <c r="F10" s="5">
        <v>7.0000000000000007E-2</v>
      </c>
    </row>
    <row r="11" spans="2:17">
      <c r="B11" s="5">
        <v>1</v>
      </c>
      <c r="E11">
        <v>10</v>
      </c>
      <c r="F11" s="5">
        <v>0.04</v>
      </c>
    </row>
    <row r="12" spans="2:17">
      <c r="B12" s="5">
        <v>1</v>
      </c>
      <c r="F12" s="5"/>
    </row>
    <row r="13" spans="2:17">
      <c r="B13" s="5">
        <v>1</v>
      </c>
    </row>
    <row r="14" spans="2:17">
      <c r="B14" s="5">
        <v>1</v>
      </c>
    </row>
    <row r="15" spans="2:17">
      <c r="B15" s="5">
        <v>1</v>
      </c>
    </row>
    <row r="16" spans="2:17">
      <c r="B16" s="5">
        <v>1</v>
      </c>
    </row>
    <row r="17" spans="2:2">
      <c r="B17" s="5">
        <v>1</v>
      </c>
    </row>
    <row r="18" spans="2:2">
      <c r="B18" s="5">
        <v>1</v>
      </c>
    </row>
    <row r="19" spans="2:2">
      <c r="B19" s="5">
        <v>1</v>
      </c>
    </row>
    <row r="20" spans="2:2">
      <c r="B20" s="5">
        <v>1</v>
      </c>
    </row>
    <row r="21" spans="2:2">
      <c r="B21" s="5">
        <v>1</v>
      </c>
    </row>
    <row r="22" spans="2:2">
      <c r="B22" s="5">
        <v>1</v>
      </c>
    </row>
    <row r="23" spans="2:2">
      <c r="B23" s="5">
        <v>1</v>
      </c>
    </row>
    <row r="24" spans="2:2">
      <c r="B24" s="5">
        <v>1</v>
      </c>
    </row>
    <row r="25" spans="2:2">
      <c r="B25" s="5">
        <v>1</v>
      </c>
    </row>
    <row r="26" spans="2:2">
      <c r="B26" s="5">
        <v>1</v>
      </c>
    </row>
    <row r="27" spans="2:2">
      <c r="B27" s="5">
        <v>1</v>
      </c>
    </row>
    <row r="28" spans="2:2">
      <c r="B28" s="5">
        <v>1</v>
      </c>
    </row>
    <row r="29" spans="2:2">
      <c r="B29" s="5">
        <v>1</v>
      </c>
    </row>
    <row r="30" spans="2:2">
      <c r="B30" s="5">
        <v>1</v>
      </c>
    </row>
    <row r="31" spans="2:2">
      <c r="B31" s="5">
        <v>1</v>
      </c>
    </row>
    <row r="32" spans="2:2">
      <c r="B32" s="5">
        <v>1</v>
      </c>
    </row>
    <row r="33" spans="2:10">
      <c r="B33" s="5">
        <v>1</v>
      </c>
      <c r="I33" s="6" t="s">
        <v>45</v>
      </c>
      <c r="J33" s="6" t="s">
        <v>46</v>
      </c>
    </row>
    <row r="34" spans="2:10">
      <c r="B34" s="5">
        <v>1</v>
      </c>
      <c r="I34" t="s">
        <v>19</v>
      </c>
      <c r="J34">
        <v>46</v>
      </c>
    </row>
    <row r="35" spans="2:10">
      <c r="B35" s="5">
        <v>1</v>
      </c>
      <c r="I35" t="s">
        <v>20</v>
      </c>
      <c r="J35">
        <v>42</v>
      </c>
    </row>
    <row r="36" spans="2:10">
      <c r="B36" s="5">
        <v>1</v>
      </c>
      <c r="I36" t="s">
        <v>14</v>
      </c>
      <c r="J36">
        <v>33</v>
      </c>
    </row>
    <row r="37" spans="2:10">
      <c r="B37" s="5">
        <v>1</v>
      </c>
      <c r="I37" t="s">
        <v>15</v>
      </c>
      <c r="J37">
        <v>31</v>
      </c>
    </row>
    <row r="38" spans="2:10">
      <c r="B38" s="5">
        <v>1</v>
      </c>
      <c r="I38" t="s">
        <v>21</v>
      </c>
      <c r="J38">
        <v>13</v>
      </c>
    </row>
    <row r="39" spans="2:10">
      <c r="B39" s="5">
        <v>1</v>
      </c>
      <c r="I39" t="s">
        <v>22</v>
      </c>
      <c r="J39">
        <v>11</v>
      </c>
    </row>
    <row r="40" spans="2:10">
      <c r="B40" s="5">
        <v>1</v>
      </c>
      <c r="I40" t="s">
        <v>17</v>
      </c>
      <c r="J40">
        <v>7</v>
      </c>
    </row>
    <row r="41" spans="2:10">
      <c r="B41" s="5">
        <v>1</v>
      </c>
      <c r="I41" t="s">
        <v>18</v>
      </c>
      <c r="J41">
        <v>3</v>
      </c>
    </row>
    <row r="42" spans="2:10">
      <c r="B42" s="5">
        <v>1</v>
      </c>
      <c r="I42" t="s">
        <v>13</v>
      </c>
      <c r="J42">
        <v>2</v>
      </c>
    </row>
    <row r="43" spans="2:10">
      <c r="B43" s="5">
        <v>1</v>
      </c>
      <c r="I43" t="s">
        <v>16</v>
      </c>
      <c r="J43">
        <v>0</v>
      </c>
    </row>
    <row r="44" spans="2:10">
      <c r="B44" s="5">
        <v>1</v>
      </c>
    </row>
    <row r="45" spans="2:10">
      <c r="B45" s="5">
        <v>1</v>
      </c>
    </row>
    <row r="46" spans="2:10">
      <c r="B46" s="5">
        <v>1</v>
      </c>
    </row>
    <row r="47" spans="2:10">
      <c r="B47" s="5">
        <v>1</v>
      </c>
    </row>
    <row r="48" spans="2:10">
      <c r="B48" s="5">
        <v>1</v>
      </c>
    </row>
    <row r="49" spans="2:2">
      <c r="B49" s="5">
        <v>1</v>
      </c>
    </row>
    <row r="50" spans="2:2">
      <c r="B50" s="5">
        <v>1</v>
      </c>
    </row>
    <row r="51" spans="2:2">
      <c r="B51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Summary</vt:lpstr>
      <vt:lpstr>Rankings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YESSIN ht</cp:lastModifiedBy>
  <dcterms:created xsi:type="dcterms:W3CDTF">2026-02-17T21:01:15Z</dcterms:created>
  <dcterms:modified xsi:type="dcterms:W3CDTF">2026-06-06T02:00:00Z</dcterms:modified>
</cp:coreProperties>
</file>